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gtechnet-my.sharepoint.com/personal/ce-raphael_colin_regnology_net/Documents/Bureau/github/excel-to-indicator-mcp/data/examples/"/>
    </mc:Choice>
  </mc:AlternateContent>
  <xr:revisionPtr revIDLastSave="16" documentId="8_{03081264-21E6-4BDA-949A-0B89E2030543}" xr6:coauthVersionLast="47" xr6:coauthVersionMax="47" xr10:uidLastSave="{EE75E7CA-2529-4227-BC31-1885FE1DA940}"/>
  <bookViews>
    <workbookView xWindow="-120" yWindow="-120" windowWidth="29040" windowHeight="15720" activeTab="1" xr2:uid="{00000000-000D-0000-FFFF-FFFF00000000}"/>
  </bookViews>
  <sheets>
    <sheet name="#TEMPLATE" sheetId="1" r:id="rId1"/>
    <sheet name="S1CRU1" sheetId="2" r:id="rId2"/>
  </sheets>
  <definedNames>
    <definedName name="_TEMPLATE_BOUNDS_Data">S1CRU1!$D$15:$O$26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2" l="1"/>
  <c r="O26" i="2" s="1"/>
  <c r="K26" i="2"/>
  <c r="L17" i="2"/>
  <c r="K17" i="2"/>
  <c r="I17" i="2"/>
  <c r="N26" i="2" l="1"/>
</calcChain>
</file>

<file path=xl/sharedStrings.xml><?xml version="1.0" encoding="utf-8"?>
<sst xmlns="http://schemas.openxmlformats.org/spreadsheetml/2006/main" count="150" uniqueCount="124">
  <si>
    <t xml:space="preserve"> ( &lt;EC&gt; IN ('ICE{LIST_TO_SQL(LIST_DATA("LOI_1Y1_YES";LIST();DIMENSIONS($DEFMODEL.$DEFAULT.EC);DIMENSIONS($DEFMODEL.$DEFAULT.EC);FALSE))}') AND &lt;EC&gt; IN ('ICE{LIST_TO_SQL(LIST_DATA("EC_EAC_FCC";LIST();DIMENSIONS($DEFMODEL.$DEFAULT.EC);DIMENSIONS($DEFMODEL.$DEFAULT.EC);FALSE))}')) OR ( SCENARIO IN ('@SCN_STD') AND SUB_STEP = 'S0PAR' AND COMPANY = 'SRB' AND  SELEXPERIODE)</t>
  </si>
  <si>
    <t xml:space="preserve"> STEP IN ('EXPLABRUTES') AND  SELEXPERIODE AND &lt;CC&gt; IN ('$NONAFFECTER','$VIDE','@CC') AND (((( SCENARIO IN ('@SCN_STD') AND COMPANY NOT IN ('SRB','SELSOCIETE')) OR ( SCENARIO IN ('@SCN_RST') AND COMPANY = 'SELSOCIETE' AND SUB_STEP IN ('IDCMD','@SS_O') AND DATA_VERSION IN ('ICE{IF(SELSCENARIO()="SRF";"";VARIABLE("DATA_VERSION";SELSCENARIO();SELEXERCICE();SELPERIODE();SELSOCIETE()))}')) OR ( SCENARIO = 'SELSCENARIO' AND COMPANY = 'SRB')) AND SUB_STEP IN ('@SS_O')) OR ( SCENARIO IN ('@SCN_STD') AND SUB_STEP IN ('@SS_I','S0DE') AND COMPANY = 'SRB')) OR ( SCENARIO IN ('@SCN_STD') AND COMPANY = 'SRB' AND SUB_STEP IN ('ICE{IF(VALUE(SELEXERCICE())&gt;2018;"S0DE";"#S0DE_CRU")}') AND &lt;CC&gt; IN ('$NONAFFECTER','$VIDE','@CC') AND  SELEXPERIODE) OR ( SCENARIO IN ('@SCN_STD') AND SUB_STEP = 'S0PAR' AND COMPANY = 'SRB' AND  SELEXPERIODE)</t>
  </si>
  <si>
    <t>#ACCOUNTS</t>
  </si>
  <si>
    <t>#CELL</t>
  </si>
  <si>
    <t>#CELLTYPE</t>
  </si>
  <si>
    <t>#CODE</t>
  </si>
  <si>
    <t>#COLUMNCONFIG</t>
  </si>
  <si>
    <t>#DATA</t>
  </si>
  <si>
    <t>#DATA0</t>
  </si>
  <si>
    <t>#DATA1</t>
  </si>
  <si>
    <t>#DATA2</t>
  </si>
  <si>
    <t>#DATA3</t>
  </si>
  <si>
    <t>#DATA4</t>
  </si>
  <si>
    <t>#DATA5</t>
  </si>
  <si>
    <t>#DATA6</t>
  </si>
  <si>
    <t>#DATA7</t>
  </si>
  <si>
    <t>#DATA8</t>
  </si>
  <si>
    <t>#DATA9</t>
  </si>
  <si>
    <t>#DATAA</t>
  </si>
  <si>
    <t>#DATAB</t>
  </si>
  <si>
    <t>#DATAC</t>
  </si>
  <si>
    <t>#DATAD</t>
  </si>
  <si>
    <t>#DATAE</t>
  </si>
  <si>
    <t>#DATAF</t>
  </si>
  <si>
    <t>#DATAG</t>
  </si>
  <si>
    <t>#DATAH</t>
  </si>
  <si>
    <t>#DATAI</t>
  </si>
  <si>
    <t>#DATAJ</t>
  </si>
  <si>
    <t>#DATAK</t>
  </si>
  <si>
    <t>#DATAL</t>
  </si>
  <si>
    <t>#DATAM</t>
  </si>
  <si>
    <t>#DATAMODEL</t>
  </si>
  <si>
    <t>#DATAN</t>
  </si>
  <si>
    <t>#DEDUCTIONSGRP</t>
  </si>
  <si>
    <t>#DIMSCALC</t>
  </si>
  <si>
    <t>#DIMSCOLUMNS</t>
  </si>
  <si>
    <t>#DIMSROWS</t>
  </si>
  <si>
    <t>#DIMSTRACE</t>
  </si>
  <si>
    <t>#DIMSTRACEDETAILS</t>
  </si>
  <si>
    <t>#DIRECTEXPORT</t>
  </si>
  <si>
    <t>#DOCTYPE</t>
  </si>
  <si>
    <t>#DOMAIN</t>
  </si>
  <si>
    <t>#EXPORTVERSION</t>
  </si>
  <si>
    <t>#FASVERSION</t>
  </si>
  <si>
    <t>#INPUT</t>
  </si>
  <si>
    <t>#INPUTFILTER</t>
  </si>
  <si>
    <t>#INTERCOMPANYTR</t>
  </si>
  <si>
    <t>#INTERNALTR</t>
  </si>
  <si>
    <t>#LABEL</t>
  </si>
  <si>
    <t>#LANGUAGE</t>
  </si>
  <si>
    <t>#LOCKOUTPUTDIM</t>
  </si>
  <si>
    <t>#MANUALINPUT</t>
  </si>
  <si>
    <t>#NAMESPACE</t>
  </si>
  <si>
    <t>#OUTPUTFILTER</t>
  </si>
  <si>
    <t>#OUTPUTININPUT</t>
  </si>
  <si>
    <t>#PAGE</t>
  </si>
  <si>
    <t>#PAGEBREAK</t>
  </si>
  <si>
    <t>#PRIOFORMULAE</t>
  </si>
  <si>
    <t>#PROFORMA</t>
  </si>
  <si>
    <t>#ROWCONFIG</t>
  </si>
  <si>
    <t>#ROWLIMIT</t>
  </si>
  <si>
    <t>#SPHERE</t>
  </si>
  <si>
    <t>#STANDALONE</t>
  </si>
  <si>
    <t>#STATUS</t>
  </si>
  <si>
    <t>#TRAILINGZEROS</t>
  </si>
  <si>
    <t>#VERSION</t>
  </si>
  <si>
    <t>#VERSIONED</t>
  </si>
  <si>
    <t>$DEFAULT</t>
  </si>
  <si>
    <t>$DEFMODEL</t>
  </si>
  <si>
    <t>1.1.3</t>
  </si>
  <si>
    <t>1C8</t>
  </si>
  <si>
    <t>9.8.0.4</t>
  </si>
  <si>
    <t>Actual Lump-Sum Contribution(only for non-S&amp;R LPS)</t>
  </si>
  <si>
    <t>Classic</t>
  </si>
  <si>
    <t>Country:</t>
  </si>
  <si>
    <t>Covered deposits (T-2, from EACIND)</t>
  </si>
  <si>
    <t>Data</t>
  </si>
  <si>
    <t>EACIND_1A1</t>
  </si>
  <si>
    <t>EACIND_1A7</t>
  </si>
  <si>
    <t>EACIND_2A1</t>
  </si>
  <si>
    <t>EACIND_2A2</t>
  </si>
  <si>
    <t>EACIND_2A3</t>
  </si>
  <si>
    <t>ENGLISH</t>
  </si>
  <si>
    <t>Entity:</t>
  </si>
  <si>
    <t>FALSE</t>
  </si>
  <si>
    <t>Fixed Target Level</t>
  </si>
  <si>
    <t>Groups</t>
  </si>
  <si>
    <t>INPUTMCCOMP:{SRF_GEO}S1CRU1_LSTHE;</t>
  </si>
  <si>
    <t>INPUTMCCOMP:{SRF_GEO}S1CRU1_LUMPS;</t>
  </si>
  <si>
    <t>INPUTMCCOMP:{SRF_GEO}S1CRU1_TLCDO;</t>
  </si>
  <si>
    <t>ISS</t>
  </si>
  <si>
    <t>IVF with Limited Services and Activities?</t>
  </si>
  <si>
    <t>LEI code of the institution</t>
  </si>
  <si>
    <t>Name of the institution</t>
  </si>
  <si>
    <t xml:space="preserve">OUTPUTMCACC:{SRF_GEO};INPUTMCACC:{SRF_GEO};LABEL:SRF_GEO;
OUTPUTFILTER: &lt;EC&gt; = '$DYNAMIQUE';
INPUTFILTER: &lt;EC&gt; = '$DYNAMIQUE';
</t>
  </si>
  <si>
    <t xml:space="preserve">OUTPUTMCACC:{SRF_GEO};LABEL:SRF_GEO;
</t>
  </si>
  <si>
    <t>OUTPUTMCCOMP:{SRF_GEO}1A1;</t>
  </si>
  <si>
    <t xml:space="preserve">OUTPUTMCCOMP:{SRF_GEO}1A7;DIMINPUTCODE:&lt;EC&gt;;
</t>
  </si>
  <si>
    <t>OUTPUTMCCOMP:{SRF_GEO}1C8;</t>
  </si>
  <si>
    <t>OUTPUTMCCOMP:{SRF_GEO}2A1;</t>
  </si>
  <si>
    <t>OUTPUTMCCOMP:{SRF_GEO}2A2;</t>
  </si>
  <si>
    <t>OUTPUTMCCOMP:{SRF_GEO}2A3;</t>
  </si>
  <si>
    <t>OUTPUTMCCOMP:{SRF_GEO}S0DE_SR_YN;</t>
  </si>
  <si>
    <t>OUTPUTMCCOMP:{SRF_GEO}S0PARA_FIXTL;</t>
  </si>
  <si>
    <t>OUTPUTMCCOMP:{SRF_GEO}S0PARA_SR_ST;</t>
  </si>
  <si>
    <t>OUTPUTMCCOMP:{SRF_GEO}S0PARA_TALEC;</t>
  </si>
  <si>
    <t xml:space="preserve">Own funds </t>
  </si>
  <si>
    <t>S&amp;R Stage</t>
  </si>
  <si>
    <t>S0DE_SR_YN</t>
  </si>
  <si>
    <t>S0PARA_SR_ST</t>
  </si>
  <si>
    <t>S1CRU1</t>
  </si>
  <si>
    <t>S1CRU1_LSTHE</t>
  </si>
  <si>
    <t>S1CRU1_LUMPS</t>
  </si>
  <si>
    <t>S1CRU1_TLCDO</t>
  </si>
  <si>
    <t>SCENARIO = 'SELSCENARIO' AND STEP IN ('EXPLABRUTES') AND SUB_STEP IN ('@SS_I') AND  SELEXPERIODE AND JOURNAL = 'BA' AND FLUX = 'F99' AND &lt;CC&gt; IN ('@CC_O') AND COMPANY = 'SELSOCIETE'</t>
  </si>
  <si>
    <t>Smal and Risky?
(Y/N)</t>
  </si>
  <si>
    <t>Small and Risky result (Y/N)</t>
  </si>
  <si>
    <t>Standard</t>
  </si>
  <si>
    <t>Step 1 - Calculation - 1st Run</t>
  </si>
  <si>
    <t>TL-CD-OF</t>
  </si>
  <si>
    <t>TRUE</t>
  </si>
  <si>
    <t>Target Level Coefficient</t>
  </si>
  <si>
    <t>Theoretical Lump-Sum Contribution(only for S&amp;R)</t>
  </si>
  <si>
    <t>Total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</si>
</sst>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color rgb="FF004B8E"/>
      <name val="Calibri"/>
    </font>
    <font>
      <sz val="8"/>
      <color rgb="FFFFFFFF"/>
      <name val="Tahoma"/>
    </font>
    <font>
      <sz val="10"/>
      <color rgb="FF000000"/>
      <name val="Calibri"/>
    </font>
    <font>
      <sz val="10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008000"/>
      </patternFill>
    </fill>
    <fill>
      <patternFill patternType="solid">
        <fgColor rgb="FF800000"/>
      </patternFill>
    </fill>
    <fill>
      <patternFill patternType="solid">
        <fgColor rgb="FF9400D3"/>
      </patternFill>
    </fill>
    <fill>
      <patternFill patternType="solid">
        <fgColor rgb="FFFF8C00"/>
      </patternFill>
    </fill>
    <fill>
      <patternFill patternType="solid">
        <fgColor rgb="FF004B8E"/>
      </patternFill>
    </fill>
    <fill>
      <patternFill patternType="solid">
        <fgColor rgb="FF00B0F0"/>
      </patternFill>
    </fill>
    <fill>
      <patternFill patternType="solid">
        <fgColor rgb="FF00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3" borderId="0" xfId="0" applyFont="1" applyFill="1" applyAlignment="1">
      <alignment vertical="center" wrapText="1"/>
    </xf>
    <xf numFmtId="3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4" fillId="7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3" fontId="3" fillId="0" borderId="6" xfId="0" applyNumberFormat="1" applyFont="1" applyBorder="1" applyAlignment="1">
      <alignment horizontal="right" vertical="center"/>
    </xf>
    <xf numFmtId="1" fontId="4" fillId="7" borderId="3" xfId="0" applyNumberFormat="1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1" fontId="4" fillId="7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" fontId="3" fillId="9" borderId="3" xfId="0" applyNumberFormat="1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4"/>
  <sheetViews>
    <sheetView showFormulas="1" workbookViewId="0"/>
  </sheetViews>
  <sheetFormatPr baseColWidth="10" defaultRowHeight="12.75" x14ac:dyDescent="0.2"/>
  <cols>
    <col min="1" max="2" width="13.5703125" customWidth="1"/>
  </cols>
  <sheetData>
    <row r="1" spans="1:2" x14ac:dyDescent="0.2">
      <c r="B1" s="2" t="s">
        <v>7</v>
      </c>
    </row>
    <row r="2" spans="1:2" x14ac:dyDescent="0.2">
      <c r="A2" s="2" t="s">
        <v>49</v>
      </c>
      <c r="B2" t="s">
        <v>82</v>
      </c>
    </row>
    <row r="3" spans="1:2" x14ac:dyDescent="0.2">
      <c r="A3" s="2" t="s">
        <v>5</v>
      </c>
      <c r="B3" t="s">
        <v>110</v>
      </c>
    </row>
    <row r="4" spans="1:2" x14ac:dyDescent="0.2">
      <c r="A4" s="2" t="s">
        <v>48</v>
      </c>
      <c r="B4" t="s">
        <v>118</v>
      </c>
    </row>
    <row r="5" spans="1:2" x14ac:dyDescent="0.2">
      <c r="A5" s="2" t="s">
        <v>65</v>
      </c>
      <c r="B5">
        <v>2026</v>
      </c>
    </row>
    <row r="6" spans="1:2" x14ac:dyDescent="0.2">
      <c r="A6" s="2" t="s">
        <v>31</v>
      </c>
      <c r="B6" t="s">
        <v>68</v>
      </c>
    </row>
    <row r="7" spans="1:2" x14ac:dyDescent="0.2">
      <c r="A7" s="2" t="s">
        <v>41</v>
      </c>
      <c r="B7" t="s">
        <v>67</v>
      </c>
    </row>
    <row r="8" spans="1:2" x14ac:dyDescent="0.2">
      <c r="A8" s="2" t="s">
        <v>52</v>
      </c>
    </row>
    <row r="9" spans="1:2" x14ac:dyDescent="0.2">
      <c r="A9" s="2" t="s">
        <v>53</v>
      </c>
      <c r="B9" t="s">
        <v>1</v>
      </c>
    </row>
    <row r="10" spans="1:2" x14ac:dyDescent="0.2">
      <c r="A10" s="2" t="s">
        <v>45</v>
      </c>
      <c r="B10" t="s">
        <v>114</v>
      </c>
    </row>
    <row r="11" spans="1:2" x14ac:dyDescent="0.2">
      <c r="A11" s="2" t="s">
        <v>37</v>
      </c>
    </row>
    <row r="12" spans="1:2" x14ac:dyDescent="0.2">
      <c r="A12" s="2" t="s">
        <v>34</v>
      </c>
    </row>
    <row r="13" spans="1:2" ht="21" x14ac:dyDescent="0.2">
      <c r="A13" s="2" t="s">
        <v>38</v>
      </c>
    </row>
    <row r="14" spans="1:2" x14ac:dyDescent="0.2">
      <c r="A14" s="2" t="s">
        <v>36</v>
      </c>
    </row>
    <row r="15" spans="1:2" x14ac:dyDescent="0.2">
      <c r="A15" s="2" t="s">
        <v>35</v>
      </c>
    </row>
    <row r="16" spans="1:2" x14ac:dyDescent="0.2">
      <c r="A16" s="2" t="s">
        <v>4</v>
      </c>
      <c r="B16" t="s">
        <v>73</v>
      </c>
    </row>
    <row r="17" spans="1:2" x14ac:dyDescent="0.2">
      <c r="A17" s="2" t="s">
        <v>2</v>
      </c>
      <c r="B17" t="s">
        <v>86</v>
      </c>
    </row>
    <row r="18" spans="1:2" x14ac:dyDescent="0.2">
      <c r="A18" s="2" t="s">
        <v>57</v>
      </c>
      <c r="B18" t="s">
        <v>120</v>
      </c>
    </row>
    <row r="19" spans="1:2" x14ac:dyDescent="0.2">
      <c r="A19" s="2" t="s">
        <v>64</v>
      </c>
      <c r="B19" t="s">
        <v>120</v>
      </c>
    </row>
    <row r="20" spans="1:2" ht="21" x14ac:dyDescent="0.2">
      <c r="A20" s="2" t="s">
        <v>54</v>
      </c>
      <c r="B20" t="s">
        <v>84</v>
      </c>
    </row>
    <row r="21" spans="1:2" ht="21" x14ac:dyDescent="0.2">
      <c r="A21" s="2" t="s">
        <v>33</v>
      </c>
    </row>
    <row r="22" spans="1:2" x14ac:dyDescent="0.2">
      <c r="A22" s="2" t="s">
        <v>63</v>
      </c>
    </row>
    <row r="23" spans="1:2" ht="21" x14ac:dyDescent="0.2">
      <c r="A23" s="2" t="s">
        <v>42</v>
      </c>
      <c r="B23" t="s">
        <v>69</v>
      </c>
    </row>
    <row r="24" spans="1:2" x14ac:dyDescent="0.2">
      <c r="A24" s="2" t="s">
        <v>44</v>
      </c>
      <c r="B24" t="s">
        <v>120</v>
      </c>
    </row>
    <row r="25" spans="1:2" x14ac:dyDescent="0.2">
      <c r="A25" s="2" t="s">
        <v>40</v>
      </c>
      <c r="B25" t="s">
        <v>90</v>
      </c>
    </row>
    <row r="26" spans="1:2" x14ac:dyDescent="0.2">
      <c r="A26" s="2" t="s">
        <v>66</v>
      </c>
      <c r="B26" t="s">
        <v>120</v>
      </c>
    </row>
    <row r="27" spans="1:2" ht="21" x14ac:dyDescent="0.2">
      <c r="A27" s="2" t="s">
        <v>46</v>
      </c>
      <c r="B27" t="s">
        <v>84</v>
      </c>
    </row>
    <row r="28" spans="1:2" x14ac:dyDescent="0.2">
      <c r="A28" s="2" t="s">
        <v>47</v>
      </c>
      <c r="B28" t="s">
        <v>84</v>
      </c>
    </row>
    <row r="29" spans="1:2" x14ac:dyDescent="0.2">
      <c r="A29" s="2" t="s">
        <v>43</v>
      </c>
      <c r="B29" t="s">
        <v>71</v>
      </c>
    </row>
    <row r="30" spans="1:2" x14ac:dyDescent="0.2">
      <c r="A30" s="2" t="s">
        <v>62</v>
      </c>
      <c r="B30" t="s">
        <v>84</v>
      </c>
    </row>
    <row r="31" spans="1:2" ht="21" x14ac:dyDescent="0.2">
      <c r="A31" s="2" t="s">
        <v>50</v>
      </c>
      <c r="B31" t="s">
        <v>120</v>
      </c>
    </row>
    <row r="32" spans="1:2" x14ac:dyDescent="0.2">
      <c r="A32" s="2" t="s">
        <v>39</v>
      </c>
      <c r="B32" t="s">
        <v>84</v>
      </c>
    </row>
    <row r="33" spans="1:2" x14ac:dyDescent="0.2">
      <c r="A33" s="2" t="s">
        <v>58</v>
      </c>
      <c r="B33" t="s">
        <v>84</v>
      </c>
    </row>
    <row r="34" spans="1:2" x14ac:dyDescent="0.2">
      <c r="A34" s="2" t="s">
        <v>51</v>
      </c>
      <c r="B34" t="s">
        <v>120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28"/>
  <sheetViews>
    <sheetView showFormulas="1" tabSelected="1" topLeftCell="A4" workbookViewId="0">
      <selection activeCell="A2" sqref="A2:XFD2"/>
    </sheetView>
  </sheetViews>
  <sheetFormatPr baseColWidth="10" defaultRowHeight="12.75" outlineLevelRow="2" outlineLevelCol="2" x14ac:dyDescent="0.2"/>
  <cols>
    <col min="1" max="1" width="13.5703125" customWidth="1"/>
    <col min="2" max="2" width="11.42578125" customWidth="1" outlineLevel="1"/>
    <col min="3" max="3" width="11.42578125" customWidth="1" outlineLevel="2"/>
    <col min="4" max="4" width="3.28515625" customWidth="1"/>
    <col min="5" max="9" width="23.28515625" customWidth="1"/>
    <col min="10" max="10" width="30.85546875" customWidth="1"/>
    <col min="11" max="11" width="20.42578125" customWidth="1"/>
    <col min="12" max="12" width="23.140625" hidden="1" customWidth="1"/>
    <col min="13" max="13" width="23.140625" customWidth="1"/>
    <col min="14" max="15" width="23.42578125" customWidth="1"/>
    <col min="16" max="16" width="14" customWidth="1"/>
    <col min="17" max="17" width="13.7109375" customWidth="1"/>
  </cols>
  <sheetData>
    <row r="1" spans="1:17" ht="31.5" x14ac:dyDescent="0.2">
      <c r="A1" s="6"/>
      <c r="B1" s="8" t="s">
        <v>55</v>
      </c>
      <c r="C1" s="4" t="s">
        <v>59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32</v>
      </c>
    </row>
    <row r="2" spans="1:17" outlineLevel="1" x14ac:dyDescent="0.2">
      <c r="A2" s="8" t="s">
        <v>5</v>
      </c>
      <c r="B2" s="8" t="s">
        <v>76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7" outlineLevel="1" x14ac:dyDescent="0.2">
      <c r="A3" s="8" t="s">
        <v>48</v>
      </c>
      <c r="B3" s="8" t="s">
        <v>76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7" ht="336" outlineLevel="1" x14ac:dyDescent="0.2">
      <c r="A4" s="8" t="s">
        <v>53</v>
      </c>
      <c r="B4" s="8" t="s">
        <v>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7" outlineLevel="1" x14ac:dyDescent="0.2">
      <c r="A5" s="8" t="s">
        <v>45</v>
      </c>
      <c r="B5" s="8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7" outlineLevel="1" x14ac:dyDescent="0.2">
      <c r="A6" s="8" t="s">
        <v>37</v>
      </c>
      <c r="B6" s="8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7" ht="21" outlineLevel="1" x14ac:dyDescent="0.2">
      <c r="A7" s="8" t="s">
        <v>38</v>
      </c>
      <c r="B7" s="8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7" outlineLevel="1" x14ac:dyDescent="0.2">
      <c r="A8" s="8" t="s">
        <v>36</v>
      </c>
      <c r="B8" s="8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7" outlineLevel="1" x14ac:dyDescent="0.2">
      <c r="A9" s="8" t="s">
        <v>35</v>
      </c>
      <c r="B9" s="8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7" outlineLevel="1" x14ac:dyDescent="0.2">
      <c r="A10" s="8" t="s">
        <v>56</v>
      </c>
      <c r="B10" s="8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7" outlineLevel="1" x14ac:dyDescent="0.2">
      <c r="A11" s="8" t="s">
        <v>61</v>
      </c>
      <c r="B11" s="8" t="s">
        <v>117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7" outlineLevel="1" x14ac:dyDescent="0.2">
      <c r="A12" s="8" t="s">
        <v>4</v>
      </c>
      <c r="B12" s="8" t="s">
        <v>73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7" outlineLevel="1" x14ac:dyDescent="0.2">
      <c r="A13" s="8" t="s">
        <v>60</v>
      </c>
      <c r="B13" s="8">
        <v>-1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7" ht="21" outlineLevel="2" x14ac:dyDescent="0.2">
      <c r="A14" s="7" t="s">
        <v>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7" ht="12" customHeight="1" x14ac:dyDescent="0.2">
      <c r="A15" s="2" t="s">
        <v>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7" ht="12" customHeight="1" x14ac:dyDescent="0.2">
      <c r="A16" s="2" t="s">
        <v>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52.5" x14ac:dyDescent="0.2">
      <c r="A17" s="2" t="s">
        <v>10</v>
      </c>
      <c r="B17" s="6"/>
      <c r="C17" s="4" t="s">
        <v>95</v>
      </c>
      <c r="D17" s="6"/>
      <c r="E17" s="34" t="s">
        <v>118</v>
      </c>
      <c r="F17" s="35"/>
      <c r="G17" s="6"/>
      <c r="H17" s="17" t="s">
        <v>74</v>
      </c>
      <c r="I17" s="22" t="e">
        <f ca="1">DOCUMENTVARIABLE_LABEL_UNIQUE("CC")</f>
        <v>#NAME?</v>
      </c>
      <c r="J17" s="17" t="s">
        <v>83</v>
      </c>
      <c r="K17" s="25" t="e">
        <f ca="1">SELCOMPANY()</f>
        <v>#NAME?</v>
      </c>
      <c r="L17" s="27" t="e">
        <f ca="1">SELCOMPANY()</f>
        <v>#NAME?</v>
      </c>
      <c r="M17" s="6"/>
      <c r="N17" s="20" t="s">
        <v>107</v>
      </c>
      <c r="O17" s="29"/>
      <c r="P17" s="6" t="s">
        <v>109</v>
      </c>
    </row>
    <row r="18" spans="1:16" ht="21" outlineLevel="1" x14ac:dyDescent="0.2">
      <c r="A18" s="9" t="s">
        <v>3</v>
      </c>
      <c r="B18" s="6"/>
      <c r="C18" s="6"/>
      <c r="D18" s="6"/>
      <c r="E18" s="1"/>
      <c r="F18" s="6"/>
      <c r="H18" s="19"/>
      <c r="I18" s="23"/>
      <c r="J18" s="17"/>
      <c r="K18" s="28"/>
      <c r="L18" s="27"/>
      <c r="M18" s="6"/>
      <c r="N18" s="32"/>
      <c r="O18" s="9" t="s">
        <v>104</v>
      </c>
      <c r="P18" s="6"/>
    </row>
    <row r="19" spans="1:16" ht="12.95" customHeight="1" x14ac:dyDescent="0.2">
      <c r="A19" s="2" t="s">
        <v>11</v>
      </c>
      <c r="B19" s="6"/>
      <c r="C19" s="6"/>
      <c r="D19" s="6"/>
      <c r="E19" s="1"/>
      <c r="F19" s="6"/>
      <c r="H19" s="19" t="s">
        <v>121</v>
      </c>
      <c r="I19" s="23"/>
      <c r="J19" s="17"/>
      <c r="K19" s="28"/>
      <c r="L19" s="27"/>
      <c r="M19" s="6"/>
      <c r="N19" s="32"/>
      <c r="O19" s="33"/>
      <c r="P19" s="6"/>
    </row>
    <row r="20" spans="1:16" ht="21" outlineLevel="1" x14ac:dyDescent="0.2">
      <c r="A20" s="9" t="s">
        <v>3</v>
      </c>
      <c r="B20" s="6"/>
      <c r="C20" s="6"/>
      <c r="D20" s="6"/>
      <c r="E20" s="1"/>
      <c r="F20" s="6"/>
      <c r="H20" s="19"/>
      <c r="I20" s="9" t="s">
        <v>105</v>
      </c>
      <c r="J20" s="17"/>
      <c r="K20" s="28"/>
      <c r="L20" s="27"/>
      <c r="M20" s="6"/>
      <c r="N20" s="32"/>
      <c r="O20" s="33"/>
      <c r="P20" s="6"/>
    </row>
    <row r="21" spans="1:16" x14ac:dyDescent="0.2">
      <c r="A21" s="2" t="s">
        <v>12</v>
      </c>
      <c r="B21" s="6"/>
      <c r="C21" s="6"/>
      <c r="D21" s="6"/>
      <c r="E21" s="1"/>
      <c r="F21" s="6"/>
      <c r="H21" s="20" t="s">
        <v>85</v>
      </c>
      <c r="I21" s="24"/>
      <c r="J21" s="17"/>
      <c r="K21" s="28"/>
      <c r="L21" s="13"/>
      <c r="M21" s="6"/>
      <c r="N21" s="32"/>
      <c r="O21" s="33"/>
      <c r="P21" s="6"/>
    </row>
    <row r="22" spans="1:16" ht="21" outlineLevel="1" x14ac:dyDescent="0.2">
      <c r="A22" s="9" t="s">
        <v>3</v>
      </c>
      <c r="B22" s="6"/>
      <c r="C22" s="6"/>
      <c r="D22" s="6"/>
      <c r="E22" s="1"/>
      <c r="F22" s="1"/>
      <c r="G22" s="1"/>
      <c r="H22" s="6"/>
      <c r="I22" s="9" t="s">
        <v>103</v>
      </c>
      <c r="J22" s="6"/>
      <c r="K22" s="6"/>
      <c r="L22" s="6"/>
      <c r="M22" s="6"/>
      <c r="N22" s="6"/>
      <c r="O22" s="6"/>
      <c r="P22" s="6"/>
    </row>
    <row r="23" spans="1:16" ht="12" customHeight="1" x14ac:dyDescent="0.2">
      <c r="A23" s="2" t="s">
        <v>13</v>
      </c>
      <c r="B23" s="6"/>
      <c r="C23" s="6"/>
      <c r="D23" s="6"/>
      <c r="E23" s="1"/>
      <c r="F23" s="1"/>
      <c r="G23" s="1"/>
      <c r="H23" s="6"/>
      <c r="I23" s="6"/>
      <c r="J23" s="6"/>
      <c r="K23" s="6"/>
      <c r="L23" s="6"/>
      <c r="M23" s="6"/>
      <c r="N23" s="6"/>
      <c r="O23" s="6"/>
      <c r="P23" s="6"/>
    </row>
    <row r="24" spans="1:16" ht="39" customHeight="1" x14ac:dyDescent="0.2">
      <c r="A24" s="2" t="s">
        <v>14</v>
      </c>
      <c r="B24" s="6"/>
      <c r="C24" s="6"/>
      <c r="D24" s="6"/>
      <c r="E24" s="12" t="s">
        <v>93</v>
      </c>
      <c r="F24" s="11" t="s">
        <v>92</v>
      </c>
      <c r="G24" s="16" t="s">
        <v>91</v>
      </c>
      <c r="H24" s="10" t="s">
        <v>123</v>
      </c>
      <c r="I24" s="26" t="s">
        <v>106</v>
      </c>
      <c r="J24" s="26" t="s">
        <v>75</v>
      </c>
      <c r="K24" s="19" t="s">
        <v>116</v>
      </c>
      <c r="L24" s="30" t="s">
        <v>115</v>
      </c>
      <c r="M24" s="31" t="s">
        <v>119</v>
      </c>
      <c r="N24" s="31" t="s">
        <v>72</v>
      </c>
      <c r="O24" s="31" t="s">
        <v>122</v>
      </c>
      <c r="P24" s="6"/>
    </row>
    <row r="25" spans="1:16" x14ac:dyDescent="0.2">
      <c r="A25" s="2" t="s">
        <v>15</v>
      </c>
      <c r="B25" s="6"/>
      <c r="C25" s="6"/>
      <c r="D25" s="6"/>
      <c r="E25" s="12" t="s">
        <v>77</v>
      </c>
      <c r="F25" s="11" t="s">
        <v>78</v>
      </c>
      <c r="G25" s="16" t="s">
        <v>70</v>
      </c>
      <c r="H25" s="21" t="s">
        <v>79</v>
      </c>
      <c r="I25" s="19" t="s">
        <v>80</v>
      </c>
      <c r="J25" s="19" t="s">
        <v>81</v>
      </c>
      <c r="K25" s="19" t="s">
        <v>108</v>
      </c>
      <c r="L25" s="30" t="s">
        <v>108</v>
      </c>
      <c r="M25" s="11" t="s">
        <v>113</v>
      </c>
      <c r="N25" s="11" t="s">
        <v>112</v>
      </c>
      <c r="O25" s="11" t="s">
        <v>111</v>
      </c>
      <c r="P25" s="6"/>
    </row>
    <row r="26" spans="1:16" ht="147" x14ac:dyDescent="0.2">
      <c r="A26" s="2" t="s">
        <v>16</v>
      </c>
      <c r="B26" s="6"/>
      <c r="C26" s="4" t="s">
        <v>94</v>
      </c>
      <c r="D26" s="6"/>
      <c r="E26" s="14"/>
      <c r="F26" s="15"/>
      <c r="G26" s="5"/>
      <c r="H26" s="5"/>
      <c r="I26" s="5"/>
      <c r="J26" s="5"/>
      <c r="K26" s="29" t="str">
        <f>IF($F26&lt;&gt;"",IF($L26="","No",$L26),"")</f>
        <v/>
      </c>
      <c r="L26" s="3"/>
      <c r="M26" s="5" t="str">
        <f>IF(E26="","",H26-I26-J26)</f>
        <v/>
      </c>
      <c r="N26" s="18" t="str">
        <f>IF(M26="","",IF(OR(RIGHT(K26,2)="x2",K26="No"),IF(OR(RIGHT(G26,2)="x1",G26="Yes"),IF(AND(AND($I$19=0,$I$21=0),M26&lt;=300000000),0,IF(M26&lt;=50000000,1000,IF(AND(M26&gt;50000000,M26&lt;=100000000),2000,IF(AND(M26&gt;100000000,M26&lt;=150000000),7000,IF(AND(M26&gt;150000000,M26&lt;=200000000),15000,IF(AND(M26&gt;200000000,M26&lt;=250000000),26000,IF(AND(M26&gt;250000000,M26&lt;=300000000),50000,""))))))),IF(H26&lt;1000000000,IF(AND(AND($I$19=0,$I$21=0),M26&lt;=300000000),0,IF(M26&lt;=50000000,1000,IF(AND(M26&gt;50000000,M26&lt;=100000000),2000,IF(AND(M26&gt;100000000,M26&lt;=150000000),7000,IF(AND(M26&gt;150000000,M26&lt;=200000000),15000,IF(AND(M26&gt;200000000,M26&lt;=250000000),26000,IF(AND(M26&gt;250000000,M26&lt;=300000000),50000,""))))))),"")),""))</f>
        <v/>
      </c>
      <c r="O26" s="5" t="str">
        <f>IF(M26="","",IF(OR(RIGHT(K26,2)="x1",K26="Yes"),IF(OR(RIGHT(G26,2)="x1",G26="Yes"),IF(M26&lt;=50000000,1000,IF(AND(M26&gt;50000000,M26&lt;=100000000),2000,IF(AND(M26&gt;100000000,M26&lt;=150000000),7000,IF(AND(M26&gt;150000000,M26&lt;=200000000),15000,IF(AND(M26&gt;200000000,M26&lt;=250000000),26000,IF(AND(M26&gt;250000000,M26&lt;=300000000),50000,"")))))),IF(H26&lt;1000000000,IF(M26&lt;=50000000,1000,IF(AND(M26&gt;50000000,M26&lt;=100000000),2000,IF(AND(M26&gt;100000000,M26&lt;=150000000),7000,IF(AND(M26&gt;150000000,M26&lt;=200000000),15000,IF(AND(M26&gt;200000000,M26&lt;=250000000),26000,IF(AND(M26&gt;250000000,M26&lt;=300000000),50000,"")))))),"")),""))</f>
        <v/>
      </c>
      <c r="P26" s="6"/>
    </row>
    <row r="27" spans="1:16" ht="31.5" outlineLevel="1" x14ac:dyDescent="0.2">
      <c r="A27" s="9" t="s">
        <v>3</v>
      </c>
      <c r="E27" s="9" t="s">
        <v>96</v>
      </c>
      <c r="F27" s="9" t="s">
        <v>97</v>
      </c>
      <c r="G27" s="9" t="s">
        <v>98</v>
      </c>
      <c r="H27" s="9" t="s">
        <v>99</v>
      </c>
      <c r="I27" s="9" t="s">
        <v>100</v>
      </c>
      <c r="J27" s="9" t="s">
        <v>101</v>
      </c>
      <c r="L27" s="9" t="s">
        <v>102</v>
      </c>
      <c r="M27" s="9" t="s">
        <v>89</v>
      </c>
      <c r="N27" s="9" t="s">
        <v>88</v>
      </c>
      <c r="O27" s="9" t="s">
        <v>87</v>
      </c>
    </row>
    <row r="28" spans="1:16" ht="12" customHeight="1" x14ac:dyDescent="0.2">
      <c r="A28" s="2" t="s">
        <v>17</v>
      </c>
    </row>
  </sheetData>
  <mergeCells count="1">
    <mergeCell ref="E17:F1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#TEMPLATE</vt:lpstr>
      <vt:lpstr>S1CRU1</vt:lpstr>
      <vt:lpstr>_TEMPLATE_BOUNDS_Data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Invoke</dc:creator>
  <cp:lastModifiedBy>Raphaël Colin (CE)</cp:lastModifiedBy>
  <dcterms:created xsi:type="dcterms:W3CDTF">2026-04-02T15:55:07Z</dcterms:created>
  <dcterms:modified xsi:type="dcterms:W3CDTF">2026-05-06T08:33:38Z</dcterms:modified>
</cp:coreProperties>
</file>